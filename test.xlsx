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<sst xmlns="http://schemas.openxmlformats.org/spreadsheetml/2006/main" count="35" uniqueCount="34">
  <si>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AAPL DCF Valuation Model</t>
  </si>
  <si>
    <t>Key Assumptions</t>
  </si>
  <si>
    <t>Value</t>
  </si>
  <si>
    <t>Current Price</t>
  </si>
  <si>
    <t>Shares Outstanding</t>
  </si>
  <si>
    <t>Base FCF</t>
  </si>
  <si>
    <t>Net Debt</t>
  </si>
  <si>
    <t>Stage 1 Growth Rate (Y1-5)</t>
  </si>
  <si>
    <t>WACC (Discount Rate)</t>
  </si>
  <si>
    <t>Terminal Growth Rate</t>
  </si>
  <si>
    <t>DCF Projections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</si>
  <si>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</si>
  <si>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</si>
  <si>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</si>
  <si>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</si>
  <si>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</si>
  <si>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</si>
  <si>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</si>
  <si>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</si>
  <si>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</si>
  <si>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</si>
  <si>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Terminal</t>
  </si>
  <si>
    <t>Projected FCF</t>
  </si>
  <si>
    <t>Discount Factor</t>
  </si>
  <si>
    <t>PV of FCF</t>
  </si>
  <si>
    <t>Cumulative PV</t>
  </si>
  <si>
    <t>Valuation Output</t>
  </si>
  <si>
    <t>Sum of PV of FCF (Years 1-10)</t>
  </si>
  <si>
    <t>PV of Terminal Value</t>
  </si>
  <si>
    <t>Enterprise Value</t>
  </si>
  <si>
    <t>Less: Net Debt</t>
  </si>
  <si>
    <t>Equity Value</t>
  </si>
  <si>
    <t>Intrinsic Value per Share</t>
  </si>
  <si>
    <t>Upside / (Downside)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</si>
</sst>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0%"/>
    <numFmt numFmtId="167" formatCode="0.00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left"/>
    </xf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165" fontId="0" fillId="0" borderId="0" xfId="0" applyNumberFormat="1"/>
    <xf numFmtId="167" fontId="0" fillId="0" borderId="0" xfId="0" applyNumberFormat="1"/>
    <xf numFmtId="0" fontId="4" fillId="0" borderId="0" xfId="0" applyFont="1"/>
    <xf numFmtId="164" fontId="4" fillId="4" borderId="1" xfId="0" applyNumberFormat="1" applyFont="1" applyFill="1" applyBorder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cols>
    <col min="1" max="1" width="30.7109375" customWidth="1"/>
    <col min="2" max="12" width="15.7109375" customWidth="1"/>
  </cols>
  <sheetData>
    <row r="1" spans="1:12">
      <c r="A1" s="1" t="s">
        <v>0</v>
      </c>
    </row>
    <row r="3" spans="1:12">
      <c r="A3" s="2" t="s">
        <v>1</v>
      </c>
      <c r="B3" s="2" t="s">
        <v>2</v>
      </c>
    </row>
    <row r="4" spans="1:12">
      <c r="A4" s="3" t="s">
        <v>3</v>
      </c>
      <c r="B4" s="4">
        <v>266.67</v>
      </c>
    </row>
    <row r="5" spans="1:12">
      <c r="A5" s="3" t="s">
        <v>4</v>
      </c>
      <c r="B5" s="5">
        <v>14681140000</v>
      </c>
    </row>
    <row r="6" spans="1:12">
      <c r="A6" s="3" t="s">
        <v>5</v>
      </c>
      <c r="B6" s="5">
        <v>88751000000</v>
      </c>
    </row>
    <row r="7" spans="1:12">
      <c r="A7" s="3" t="s">
        <v>6</v>
      </c>
      <c r="B7" s="5">
        <v>62723000000</v>
      </c>
    </row>
    <row r="8" spans="1:12">
      <c r="A8" s="3" t="s">
        <v>7</v>
      </c>
      <c r="B8" s="6">
        <v>0.08529</v>
      </c>
    </row>
    <row r="9" spans="1:12">
      <c r="A9" s="3" t="s">
        <v>8</v>
      </c>
      <c r="B9" s="6">
        <v>0.10088</v>
      </c>
    </row>
    <row r="10" spans="1:12">
      <c r="A10" s="3" t="s">
        <v>9</v>
      </c>
      <c r="B10" s="6">
        <v>0.025</v>
      </c>
    </row>
    <row r="12" spans="1:12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>
      <c r="A13" s="3" t="s">
        <v>22</v>
      </c>
      <c r="B13" s="7">
        <f>B6*(1+B8)</f>
        <v>0</v>
      </c>
      <c r="C13" s="7">
        <f>B13*(1+$B8)</f>
        <v>0</v>
      </c>
      <c r="D13" s="7">
        <f>C13*(1+$B8)</f>
        <v>0</v>
      </c>
      <c r="E13" s="7">
        <f>D13*(1+$B8)</f>
        <v>0</v>
      </c>
      <c r="F13" s="7">
        <f>E13*(1+$B8)</f>
        <v>0</v>
      </c>
      <c r="G13" s="7">
        <f>F13*(1+$B8+($B10-$B8)*1/5)</f>
        <v>0</v>
      </c>
      <c r="H13" s="7">
        <f>G13*(1+$B8+($B10-$B8)*2/5)</f>
        <v>0</v>
      </c>
      <c r="I13" s="7">
        <f>H13*(1+$B8+($B10-$B8)*3/5)</f>
        <v>0</v>
      </c>
      <c r="J13" s="7">
        <f>I13*(1+$B8+($B10-$B8)*4/5)</f>
        <v>0</v>
      </c>
      <c r="K13" s="7">
        <f>J13*(1+$B8+($B10-$B8)*5/5)</f>
        <v>0</v>
      </c>
      <c r="L13" s="7">
        <f>K13*(1+B10)</f>
        <v>0</v>
      </c>
    </row>
    <row r="14" spans="1:12">
      <c r="A14" s="3" t="s">
        <v>23</v>
      </c>
      <c r="B14" s="8">
        <f>1/((1+$B9)^1)</f>
        <v>0</v>
      </c>
      <c r="C14" s="8">
        <f>1/((1+$B9)^2)</f>
        <v>0</v>
      </c>
      <c r="D14" s="8">
        <f>1/((1+$B9)^3)</f>
        <v>0</v>
      </c>
      <c r="E14" s="8">
        <f>1/((1+$B9)^4)</f>
        <v>0</v>
      </c>
      <c r="F14" s="8">
        <f>1/((1+$B9)^5)</f>
        <v>0</v>
      </c>
      <c r="G14" s="8">
        <f>1/((1+$B9)^6)</f>
        <v>0</v>
      </c>
      <c r="H14" s="8">
        <f>1/((1+$B9)^7)</f>
        <v>0</v>
      </c>
      <c r="I14" s="8">
        <f>1/((1+$B9)^8)</f>
        <v>0</v>
      </c>
      <c r="J14" s="8">
        <f>1/((1+$B9)^9)</f>
        <v>0</v>
      </c>
      <c r="K14" s="8">
        <f>1/((1+$B9)^10)</f>
        <v>0</v>
      </c>
      <c r="L14" s="8">
        <f>1/((1+$B9)^10)</f>
        <v>0</v>
      </c>
    </row>
    <row r="15" spans="1:12">
      <c r="A15" s="3" t="s">
        <v>24</v>
      </c>
      <c r="B15" s="7">
        <f>B13*B14</f>
        <v>0</v>
      </c>
      <c r="C15" s="7">
        <f>C13*C14</f>
        <v>0</v>
      </c>
      <c r="D15" s="7">
        <f>D13*D14</f>
        <v>0</v>
      </c>
      <c r="E15" s="7">
        <f>E13*E14</f>
        <v>0</v>
      </c>
      <c r="F15" s="7">
        <f>F13*F14</f>
        <v>0</v>
      </c>
      <c r="G15" s="7">
        <f>G13*G14</f>
        <v>0</v>
      </c>
      <c r="H15" s="7">
        <f>H13*H14</f>
        <v>0</v>
      </c>
      <c r="I15" s="7">
        <f>I13*I14</f>
        <v>0</v>
      </c>
      <c r="J15" s="7">
        <f>J13*J14</f>
        <v>0</v>
      </c>
      <c r="K15" s="7">
        <f>K13*K14</f>
        <v>0</v>
      </c>
      <c r="L15" s="7">
        <f>(L13/($B9-$B10))*L14</f>
        <v>0</v>
      </c>
    </row>
    <row r="16" spans="1:12">
      <c r="A16" s="3" t="s">
        <v>25</v>
      </c>
      <c r="B16" s="7">
        <f>B15</f>
        <v>0</v>
      </c>
      <c r="C16" s="7">
        <f>B16+C15</f>
        <v>0</v>
      </c>
      <c r="D16" s="7">
        <f>C16+D15</f>
        <v>0</v>
      </c>
      <c r="E16" s="7">
        <f>D16+E15</f>
        <v>0</v>
      </c>
      <c r="F16" s="7">
        <f>E16+F15</f>
        <v>0</v>
      </c>
      <c r="G16" s="7">
        <f>F16+G15</f>
        <v>0</v>
      </c>
      <c r="H16" s="7">
        <f>G16+H15</f>
        <v>0</v>
      </c>
      <c r="I16" s="7">
        <f>H16+I15</f>
        <v>0</v>
      </c>
      <c r="J16" s="7">
        <f>I16+J15</f>
        <v>0</v>
      </c>
      <c r="K16" s="7">
        <f>J16+K15</f>
        <v>0</v>
      </c>
      <c r="L16" s="7">
        <f>K16+L15</f>
        <v>0</v>
      </c>
    </row>
    <row r="18" spans="1:2">
      <c r="A18" s="2" t="s">
        <v>26</v>
      </c>
      <c r="B18" s="2"/>
    </row>
    <row r="19" spans="1:2">
      <c r="A19" s="3" t="s">
        <v>27</v>
      </c>
      <c r="B19" s="7">
        <f>K16</f>
        <v>0</v>
      </c>
    </row>
    <row r="20" spans="1:2">
      <c r="A20" s="3" t="s">
        <v>28</v>
      </c>
      <c r="B20" s="7">
        <f>L15</f>
        <v>0</v>
      </c>
    </row>
    <row r="21" spans="1:2">
      <c r="A21" s="3" t="s">
        <v>29</v>
      </c>
      <c r="B21" s="7">
        <f>B19+B20</f>
        <v>0</v>
      </c>
    </row>
    <row r="22" spans="1:2">
      <c r="A22" s="3" t="s">
        <v>30</v>
      </c>
      <c r="B22" s="7">
        <f>B7</f>
        <v>0</v>
      </c>
    </row>
    <row r="23" spans="1:2">
      <c r="A23" s="3" t="s">
        <v>31</v>
      </c>
      <c r="B23" s="7">
        <f>B21-B22</f>
        <v>0</v>
      </c>
    </row>
    <row r="25" spans="1:2">
      <c r="A25" s="9" t="s">
        <v>32</v>
      </c>
      <c r="B25" s="10">
        <f>B23/B5</f>
        <v>0</v>
      </c>
    </row>
    <row r="26" spans="1:2">
      <c r="A26" s="3" t="s">
        <v>3</v>
      </c>
      <c r="B26" s="11">
        <f>266.67</f>
        <v>0</v>
      </c>
    </row>
    <row r="27" spans="1:2">
      <c r="A27" s="3" t="s">
        <v>33</v>
      </c>
      <c r="B27" s="12">
        <f>(B25/B26)-1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2026-04-27T19:19:38Z</dcterms:created>
  <dcterms:modified xsi:type="dcterms:W3CDTF">2026-04-27T19:19:38Z</dcterms:modified>
</cp:coreProperties>
</file>